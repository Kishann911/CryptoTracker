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ishann/Documents/sem-3_sprint-1/crpto-app/"/>
    </mc:Choice>
  </mc:AlternateContent>
  <xr:revisionPtr revIDLastSave="0" documentId="13_ncr:1_{FCFD5C2B-17A8-9E4A-8B42-D22C5FD8D95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1" l="1"/>
  <c r="O63" i="1"/>
  <c r="O62" i="1"/>
  <c r="O64" i="1" s="1"/>
  <c r="J32" i="1"/>
  <c r="D62" i="1" s="1"/>
  <c r="F32" i="1"/>
  <c r="D61" i="1" s="1"/>
  <c r="D63" i="1" s="1"/>
  <c r="Q25" i="1"/>
  <c r="Q24" i="1"/>
  <c r="Q27" i="1" s="1"/>
  <c r="O67" i="1" l="1"/>
  <c r="O69" i="1" s="1"/>
  <c r="O66" i="1"/>
</calcChain>
</file>

<file path=xl/sharedStrings.xml><?xml version="1.0" encoding="utf-8"?>
<sst xmlns="http://schemas.openxmlformats.org/spreadsheetml/2006/main" count="71" uniqueCount="64">
  <si>
    <t>Business Model</t>
  </si>
  <si>
    <t>Please note the prices stated below are per approximate basis and may not indicate the exact number</t>
  </si>
  <si>
    <t>Business Expenditures</t>
  </si>
  <si>
    <t>Revenue Model</t>
  </si>
  <si>
    <t>Target Audience Distribution</t>
  </si>
  <si>
    <t xml:space="preserve">Target Audience </t>
  </si>
  <si>
    <t>Scalability Potential</t>
  </si>
  <si>
    <t>Revenue Stream</t>
  </si>
  <si>
    <t>Price (₹)</t>
  </si>
  <si>
    <t>Units</t>
  </si>
  <si>
    <t>Revenue</t>
  </si>
  <si>
    <t>Retail Investors / Beginners</t>
  </si>
  <si>
    <t>CAPEX (Capital Expenditure)</t>
  </si>
  <si>
    <t>OPEX (Operational Expenditure)</t>
  </si>
  <si>
    <t>Paying Users</t>
  </si>
  <si>
    <t>Ads / Promotions in App</t>
  </si>
  <si>
    <t>Item</t>
  </si>
  <si>
    <t>Quantity</t>
  </si>
  <si>
    <t>Unit Cost (₹)</t>
  </si>
  <si>
    <t>Total (₹)</t>
  </si>
  <si>
    <t>Monthly Cost (₹)</t>
  </si>
  <si>
    <t>Annual Cost (₹)</t>
  </si>
  <si>
    <t>Total</t>
  </si>
  <si>
    <t>Laptop/PC</t>
  </si>
  <si>
    <t>Cloud Server (AWS/Firebase)</t>
  </si>
  <si>
    <t>Software Licenses</t>
  </si>
  <si>
    <t>–</t>
  </si>
  <si>
    <t>Maintenance &amp; Updates</t>
  </si>
  <si>
    <t>Initial Server Setup</t>
  </si>
  <si>
    <t>Customer Support / Staff</t>
  </si>
  <si>
    <t>Domain &amp; Hosting (1 yr)</t>
  </si>
  <si>
    <t>Marketing</t>
  </si>
  <si>
    <t>Total CAPEX</t>
  </si>
  <si>
    <t>Total OPEX</t>
  </si>
  <si>
    <t xml:space="preserve">Competitor analysis </t>
  </si>
  <si>
    <t>Profit &amp; Loss Table</t>
  </si>
  <si>
    <t>7 P's Marketing</t>
  </si>
  <si>
    <t xml:space="preserve">Name </t>
  </si>
  <si>
    <t xml:space="preserve">Webpage </t>
  </si>
  <si>
    <t>Market Share (AUM)</t>
  </si>
  <si>
    <t xml:space="preserve">AUM=Assets Under Management </t>
  </si>
  <si>
    <t>Nippon India</t>
  </si>
  <si>
    <t xml:space="preserve">Summary </t>
  </si>
  <si>
    <t>Metric</t>
  </si>
  <si>
    <t>Value (₹)</t>
  </si>
  <si>
    <t>Acknowledgements</t>
  </si>
  <si>
    <t>Subscription Fee/User</t>
  </si>
  <si>
    <t>Category</t>
  </si>
  <si>
    <t>Year-1 (₹)</t>
  </si>
  <si>
    <t xml:space="preserve">Adverstisements </t>
  </si>
  <si>
    <t>fee per/ads</t>
  </si>
  <si>
    <t xml:space="preserve">Monthly users Revenue </t>
  </si>
  <si>
    <t>Total Year-1 Cost</t>
  </si>
  <si>
    <t>Monthly Ads Revenue</t>
  </si>
  <si>
    <t>Annual Revenue</t>
  </si>
  <si>
    <t>Gross Profit</t>
  </si>
  <si>
    <t>EBITDA</t>
  </si>
  <si>
    <t>Taxes (15%)</t>
  </si>
  <si>
    <t>Net Profit</t>
  </si>
  <si>
    <t>https://coinstats.app/</t>
  </si>
  <si>
    <t>3.46 billion</t>
  </si>
  <si>
    <t>source1</t>
  </si>
  <si>
    <t xml:space="preserve">Professional Traders </t>
  </si>
  <si>
    <t>Institutional Investors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</si>
</sst>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5"/>
      <color theme="1"/>
      <name val="Lora"/>
    </font>
    <font>
      <sz val="10"/>
      <name val="Arial"/>
      <family val="2"/>
    </font>
    <font>
      <b/>
      <sz val="25"/>
      <color theme="1"/>
      <name val="Lora"/>
    </font>
    <font>
      <b/>
      <sz val="25"/>
      <color theme="1"/>
      <name val="Roboto Serif"/>
    </font>
    <font>
      <b/>
      <sz val="16"/>
      <color theme="1"/>
      <name val="Lora"/>
    </font>
    <font>
      <b/>
      <sz val="16"/>
      <color theme="1"/>
      <name val="Roboto Serif"/>
    </font>
    <font>
      <b/>
      <sz val="10"/>
      <color theme="1"/>
      <name val="Lora"/>
    </font>
    <font>
      <b/>
      <sz val="10"/>
      <color theme="1"/>
      <name val="Arial"/>
      <family val="2"/>
    </font>
    <font>
      <b/>
      <sz val="17"/>
      <color theme="1"/>
      <name val="Lora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Lora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i/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DA66"/>
        <bgColor rgb="FFFFDA66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8" fillId="4" borderId="0" xfId="0" applyFont="1" applyFill="1" applyAlignment="1">
      <alignment horizontal="center"/>
    </xf>
    <xf numFmtId="0" fontId="2" fillId="0" borderId="0" xfId="0" applyFont="1"/>
    <xf numFmtId="0" fontId="9" fillId="5" borderId="12" xfId="0" applyFont="1" applyFill="1" applyBorder="1"/>
    <xf numFmtId="0" fontId="9" fillId="5" borderId="12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0" xfId="0" applyFont="1"/>
    <xf numFmtId="0" fontId="12" fillId="4" borderId="0" xfId="0" applyFont="1" applyFill="1" applyAlignment="1">
      <alignment horizontal="center"/>
    </xf>
    <xf numFmtId="0" fontId="2" fillId="0" borderId="12" xfId="0" applyFont="1" applyBorder="1"/>
    <xf numFmtId="0" fontId="13" fillId="0" borderId="0" xfId="0" applyFont="1"/>
    <xf numFmtId="0" fontId="14" fillId="5" borderId="1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12" xfId="0" applyFont="1" applyBorder="1"/>
    <xf numFmtId="0" fontId="15" fillId="0" borderId="12" xfId="0" applyFont="1" applyBorder="1" applyAlignment="1">
      <alignment horizontal="center"/>
    </xf>
    <xf numFmtId="0" fontId="16" fillId="0" borderId="12" xfId="0" applyFont="1" applyBorder="1"/>
    <xf numFmtId="0" fontId="1" fillId="5" borderId="12" xfId="0" applyFont="1" applyFill="1" applyBorder="1" applyAlignment="1">
      <alignment horizontal="center"/>
    </xf>
    <xf numFmtId="3" fontId="15" fillId="0" borderId="12" xfId="0" applyNumberFormat="1" applyFont="1" applyBorder="1" applyAlignment="1">
      <alignment horizontal="center"/>
    </xf>
    <xf numFmtId="0" fontId="10" fillId="0" borderId="5" xfId="0" applyFont="1" applyBorder="1"/>
    <xf numFmtId="0" fontId="10" fillId="0" borderId="0" xfId="0" applyFont="1"/>
    <xf numFmtId="3" fontId="17" fillId="0" borderId="12" xfId="0" applyNumberFormat="1" applyFont="1" applyBorder="1" applyAlignment="1">
      <alignment horizontal="center"/>
    </xf>
    <xf numFmtId="0" fontId="1" fillId="0" borderId="5" xfId="0" applyFont="1" applyBorder="1"/>
    <xf numFmtId="0" fontId="18" fillId="0" borderId="5" xfId="0" applyFont="1" applyBorder="1"/>
    <xf numFmtId="0" fontId="19" fillId="0" borderId="12" xfId="0" applyFont="1" applyBorder="1" applyAlignment="1">
      <alignment horizontal="center"/>
    </xf>
    <xf numFmtId="3" fontId="19" fillId="0" borderId="12" xfId="0" applyNumberFormat="1" applyFont="1" applyBorder="1" applyAlignment="1">
      <alignment horizontal="center"/>
    </xf>
    <xf numFmtId="0" fontId="20" fillId="0" borderId="0" xfId="0" applyFont="1"/>
    <xf numFmtId="0" fontId="10" fillId="0" borderId="0" xfId="0" applyFont="1"/>
    <xf numFmtId="0" fontId="0" fillId="0" borderId="0" xfId="0"/>
    <xf numFmtId="0" fontId="1" fillId="0" borderId="0" xfId="0" applyFont="1"/>
    <xf numFmtId="0" fontId="7" fillId="3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8" xfId="0" applyFont="1" applyBorder="1"/>
    <xf numFmtId="0" fontId="9" fillId="5" borderId="9" xfId="0" applyFont="1" applyFill="1" applyBorder="1" applyAlignment="1">
      <alignment horizontal="center"/>
    </xf>
    <xf numFmtId="0" fontId="4" fillId="0" borderId="11" xfId="0" applyFont="1" applyBorder="1"/>
    <xf numFmtId="0" fontId="9" fillId="0" borderId="9" xfId="0" applyFont="1" applyBorder="1"/>
    <xf numFmtId="0" fontId="11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7" xfId="0" applyFont="1" applyBorder="1"/>
    <xf numFmtId="0" fontId="11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3" fillId="0" borderId="9" xfId="0" applyFont="1" applyBorder="1" applyAlignment="1">
      <alignment horizontal="center"/>
    </xf>
    <xf numFmtId="0" fontId="4" fillId="0" borderId="10" xfId="0" applyFont="1" applyBorder="1"/>
    <xf numFmtId="0" fontId="5" fillId="3" borderId="1" xfId="0" applyFont="1" applyFill="1" applyBorder="1" applyAlignment="1">
      <alignment horizontal="center" vertical="center"/>
    </xf>
    <xf numFmtId="0" fontId="21" fillId="0" borderId="12" xfId="1" applyBorder="1"/>
    <xf numFmtId="0" fontId="22" fillId="0" borderId="12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Target Audience Distribution (Approximate numbers)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B7B7B7"/>
              </a:solidFill>
            </c:spPr>
            <c:extLst>
              <c:ext xmlns:c16="http://schemas.microsoft.com/office/drawing/2014/chart" uri="{C3380CC4-5D6E-409C-BE32-E72D297353CC}">
                <c16:uniqueId val="{00000001-1469-874C-838F-D345F4363669}"/>
              </c:ext>
            </c:extLst>
          </c:dPt>
          <c:dPt>
            <c:idx val="1"/>
            <c:bubble3D val="0"/>
            <c:spPr>
              <a:solidFill>
                <a:srgbClr val="A4C2F4"/>
              </a:solidFill>
            </c:spPr>
            <c:extLst>
              <c:ext xmlns:c16="http://schemas.microsoft.com/office/drawing/2014/chart" uri="{C3380CC4-5D6E-409C-BE32-E72D297353CC}">
                <c16:uniqueId val="{00000003-1469-874C-838F-D345F4363669}"/>
              </c:ext>
            </c:extLst>
          </c:dPt>
          <c:dPt>
            <c:idx val="2"/>
            <c:bubble3D val="0"/>
            <c:spPr>
              <a:solidFill>
                <a:srgbClr val="FFDA66"/>
              </a:solidFill>
            </c:spPr>
            <c:extLst>
              <c:ext xmlns:c16="http://schemas.microsoft.com/office/drawing/2014/chart" uri="{C3380CC4-5D6E-409C-BE32-E72D297353CC}">
                <c16:uniqueId val="{00000005-1469-874C-838F-D345F4363669}"/>
              </c:ext>
            </c:extLst>
          </c:dPt>
          <c:cat>
            <c:strRef>
              <c:f>Sheet1!$U$23:$U$25</c:f>
              <c:strCache>
                <c:ptCount val="3"/>
                <c:pt idx="0">
                  <c:v>Retail Investors / Beginners</c:v>
                </c:pt>
                <c:pt idx="1">
                  <c:v>Professional Traders </c:v>
                </c:pt>
                <c:pt idx="2">
                  <c:v>Institutional Investors</c:v>
                </c:pt>
              </c:strCache>
            </c:strRef>
          </c:cat>
          <c:val>
            <c:numRef>
              <c:f>Sheet1!$V$23:$V$25</c:f>
              <c:numCache>
                <c:formatCode>0%</c:formatCode>
                <c:ptCount val="3"/>
                <c:pt idx="0">
                  <c:v>0.6</c:v>
                </c:pt>
                <c:pt idx="1">
                  <c:v>0.25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69-874C-838F-D345F4363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Capex expenditure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Sheet1!$F$26:$F$27</c:f>
              <c:strCache>
                <c:ptCount val="2"/>
                <c:pt idx="1">
                  <c:v>Total (₹)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Sheet1!$C$28:$C$31</c:f>
              <c:strCache>
                <c:ptCount val="4"/>
                <c:pt idx="0">
                  <c:v>Laptop/PC</c:v>
                </c:pt>
                <c:pt idx="1">
                  <c:v>Software Licenses</c:v>
                </c:pt>
                <c:pt idx="2">
                  <c:v>Initial Server Setup</c:v>
                </c:pt>
                <c:pt idx="3">
                  <c:v>Domain &amp; Hosting (1 yr)</c:v>
                </c:pt>
              </c:strCache>
            </c:strRef>
          </c:cat>
          <c:val>
            <c:numRef>
              <c:f>Sheet1!$F$28:$F$31</c:f>
              <c:numCache>
                <c:formatCode>#,##0</c:formatCode>
                <c:ptCount val="4"/>
                <c:pt idx="0">
                  <c:v>400000</c:v>
                </c:pt>
                <c:pt idx="1">
                  <c:v>20000</c:v>
                </c:pt>
                <c:pt idx="2">
                  <c:v>15000</c:v>
                </c:pt>
                <c:pt idx="3">
                  <c:v>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71-F544-8C53-1F843C7B0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005034"/>
        <c:axId val="884207684"/>
      </c:barChart>
      <c:catAx>
        <c:axId val="455005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4207684"/>
        <c:crosses val="autoZero"/>
        <c:auto val="1"/>
        <c:lblAlgn val="ctr"/>
        <c:lblOffset val="100"/>
        <c:noMultiLvlLbl val="1"/>
      </c:catAx>
      <c:valAx>
        <c:axId val="884207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50050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Sheet1!$J$26:$J$27</c:f>
              <c:strCache>
                <c:ptCount val="2"/>
                <c:pt idx="1">
                  <c:v>Annual Cost (₹)</c:v>
                </c:pt>
              </c:strCache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Sheet1!$H$28:$H$31</c:f>
              <c:strCache>
                <c:ptCount val="4"/>
                <c:pt idx="0">
                  <c:v>Cloud Server (AWS/Firebase)</c:v>
                </c:pt>
                <c:pt idx="1">
                  <c:v>Maintenance &amp; Updates</c:v>
                </c:pt>
                <c:pt idx="2">
                  <c:v>Customer Support / Staff</c:v>
                </c:pt>
                <c:pt idx="3">
                  <c:v>Marketing</c:v>
                </c:pt>
              </c:strCache>
            </c:strRef>
          </c:cat>
          <c:val>
            <c:numRef>
              <c:f>Sheet1!$J$28:$J$31</c:f>
              <c:numCache>
                <c:formatCode>#,##0</c:formatCode>
                <c:ptCount val="4"/>
                <c:pt idx="0">
                  <c:v>24000</c:v>
                </c:pt>
                <c:pt idx="1">
                  <c:v>36000</c:v>
                </c:pt>
                <c:pt idx="2">
                  <c:v>120000</c:v>
                </c:pt>
                <c:pt idx="3">
                  <c:v>60000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3C-1E4E-9473-D4BC6C19F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864340"/>
        <c:axId val="333844761"/>
      </c:barChart>
      <c:catAx>
        <c:axId val="566864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3844761"/>
        <c:crosses val="autoZero"/>
        <c:auto val="1"/>
        <c:lblAlgn val="ctr"/>
        <c:lblOffset val="100"/>
        <c:noMultiLvlLbl val="1"/>
      </c:catAx>
      <c:valAx>
        <c:axId val="333844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68643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Sheet1!$D$59:$D$60</c:f>
              <c:strCache>
                <c:ptCount val="2"/>
                <c:pt idx="1">
                  <c:v>Year-1 (₹)</c:v>
                </c:pt>
              </c:strCache>
            </c:strRef>
          </c:tx>
          <c:dPt>
            <c:idx val="0"/>
            <c:bubble3D val="0"/>
            <c:spPr>
              <a:solidFill>
                <a:srgbClr val="A4C2F4"/>
              </a:solidFill>
            </c:spPr>
            <c:extLst>
              <c:ext xmlns:c16="http://schemas.microsoft.com/office/drawing/2014/chart" uri="{C3380CC4-5D6E-409C-BE32-E72D297353CC}">
                <c16:uniqueId val="{00000001-FC9B-8A45-ABBE-CBDBFC2C52A2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3-FC9B-8A45-ABBE-CBDBFC2C52A2}"/>
              </c:ext>
            </c:extLst>
          </c:dPt>
          <c:cat>
            <c:strRef>
              <c:f>Sheet1!$C$61:$C$62</c:f>
              <c:strCache>
                <c:ptCount val="2"/>
                <c:pt idx="0">
                  <c:v>Total CAPEX</c:v>
                </c:pt>
                <c:pt idx="1">
                  <c:v>Total OPEX</c:v>
                </c:pt>
              </c:strCache>
            </c:strRef>
          </c:cat>
          <c:val>
            <c:numRef>
              <c:f>Sheet1!$D$61:$D$62</c:f>
              <c:numCache>
                <c:formatCode>#,##0</c:formatCode>
                <c:ptCount val="2"/>
                <c:pt idx="0">
                  <c:v>440000</c:v>
                </c:pt>
                <c:pt idx="1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9B-8A45-ABBE-CBDBFC2C5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180975</xdr:colOff>
      <xdr:row>27</xdr:row>
      <xdr:rowOff>0</xdr:rowOff>
    </xdr:from>
    <xdr:ext cx="3829050" cy="26574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66675</xdr:colOff>
      <xdr:row>35</xdr:row>
      <xdr:rowOff>19050</xdr:rowOff>
    </xdr:from>
    <xdr:ext cx="5324475" cy="32575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1057275</xdr:colOff>
      <xdr:row>35</xdr:row>
      <xdr:rowOff>19050</xdr:rowOff>
    </xdr:from>
    <xdr:ext cx="5457825" cy="33813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504825</xdr:colOff>
      <xdr:row>54</xdr:row>
      <xdr:rowOff>19050</xdr:rowOff>
    </xdr:from>
    <xdr:ext cx="7143750" cy="26574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18</xdr:col>
      <xdr:colOff>942975</xdr:colOff>
      <xdr:row>55</xdr:row>
      <xdr:rowOff>47625</xdr:rowOff>
    </xdr:from>
    <xdr:ext cx="4981575" cy="3099766"/>
    <xdr:pic>
      <xdr:nvPicPr>
        <xdr:cNvPr id="7" name="image1.jp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6619062" y="10511321"/>
          <a:ext cx="4981575" cy="309976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oinstats.app/" TargetMode="External"/><Relationship Id="rId1" Type="http://schemas.openxmlformats.org/officeDocument/2006/relationships/hyperlink" Target="https://coinstats.app/news/f42d397805e04e7d969dd8ef1df8a6571d2f9ee778c30d9bc089ae941f9ffcd1_-CoinShares-reports-26-AUM-increase-to-346B-in-Q2-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84"/>
  <sheetViews>
    <sheetView showGridLines="0" tabSelected="1" topLeftCell="P50" zoomScale="188" zoomScaleNormal="158" workbookViewId="0">
      <selection activeCell="Y40" sqref="Y40"/>
    </sheetView>
  </sheetViews>
  <sheetFormatPr baseColWidth="10" defaultColWidth="12.6640625" defaultRowHeight="15.75" customHeight="1"/>
  <cols>
    <col min="1" max="1" width="4.1640625" customWidth="1"/>
    <col min="2" max="2" width="20.6640625" customWidth="1"/>
    <col min="3" max="3" width="20.33203125" customWidth="1"/>
    <col min="4" max="4" width="20.83203125" customWidth="1"/>
    <col min="5" max="5" width="35.1640625" customWidth="1"/>
    <col min="6" max="6" width="19.1640625" customWidth="1"/>
    <col min="7" max="7" width="17.1640625" customWidth="1"/>
    <col min="8" max="8" width="28" customWidth="1"/>
    <col min="9" max="9" width="18.6640625" customWidth="1"/>
    <col min="10" max="10" width="17.6640625" customWidth="1"/>
    <col min="11" max="11" width="24.6640625" customWidth="1"/>
    <col min="13" max="13" width="15.1640625" customWidth="1"/>
    <col min="14" max="14" width="23.83203125" customWidth="1"/>
    <col min="15" max="15" width="18.33203125" customWidth="1"/>
    <col min="16" max="16" width="15" customWidth="1"/>
    <col min="18" max="18" width="12.5" customWidth="1"/>
    <col min="19" max="19" width="17.1640625" customWidth="1"/>
    <col min="20" max="20" width="19" customWidth="1"/>
    <col min="21" max="21" width="33.83203125" customWidth="1"/>
    <col min="22" max="22" width="21.1640625" customWidth="1"/>
    <col min="23" max="23" width="20.1640625" customWidth="1"/>
    <col min="25" max="25" width="20.6640625" customWidth="1"/>
    <col min="27" max="27" width="18.5" customWidth="1"/>
    <col min="29" max="29" width="19.5" customWidth="1"/>
  </cols>
  <sheetData>
    <row r="1" spans="1:23" ht="15.75" customHeight="1">
      <c r="A1" s="1"/>
      <c r="B1" s="1"/>
      <c r="C1" s="1"/>
      <c r="D1" s="1"/>
      <c r="E1" s="2"/>
    </row>
    <row r="2" spans="1:23" ht="15.75" customHeight="1">
      <c r="A2" s="1"/>
      <c r="B2" s="1"/>
      <c r="C2" s="1"/>
    </row>
    <row r="4" spans="1:23" ht="15.75" customHeight="1">
      <c r="K4" s="61" t="s">
        <v>0</v>
      </c>
      <c r="L4" s="55"/>
      <c r="M4" s="48"/>
    </row>
    <row r="5" spans="1:23" ht="15.75" customHeight="1">
      <c r="K5" s="62"/>
      <c r="L5" s="45"/>
      <c r="M5" s="63"/>
    </row>
    <row r="6" spans="1:23" ht="15.75" customHeight="1">
      <c r="A6" s="1"/>
      <c r="B6" s="1"/>
      <c r="C6" s="1"/>
      <c r="D6" s="1"/>
      <c r="K6" s="62"/>
      <c r="L6" s="45"/>
      <c r="M6" s="63"/>
    </row>
    <row r="7" spans="1:23" ht="15.75" customHeight="1">
      <c r="A7" s="1"/>
      <c r="B7" s="1"/>
      <c r="C7" s="1"/>
      <c r="D7" s="1"/>
      <c r="K7" s="49"/>
      <c r="L7" s="56"/>
      <c r="M7" s="50"/>
    </row>
    <row r="8" spans="1:23" ht="15.75" customHeight="1">
      <c r="A8" s="1"/>
    </row>
    <row r="9" spans="1:23" ht="15.75" customHeight="1">
      <c r="H9" s="64" t="s">
        <v>1</v>
      </c>
      <c r="I9" s="65"/>
      <c r="J9" s="65"/>
      <c r="K9" s="65"/>
      <c r="L9" s="65"/>
      <c r="M9" s="65"/>
      <c r="N9" s="65"/>
      <c r="O9" s="65"/>
      <c r="P9" s="52"/>
    </row>
    <row r="16" spans="1:23" ht="15.75" customHeight="1">
      <c r="B16" s="66" t="s">
        <v>2</v>
      </c>
      <c r="C16" s="55"/>
      <c r="D16" s="55"/>
      <c r="E16" s="55"/>
      <c r="F16" s="55"/>
      <c r="G16" s="55"/>
      <c r="H16" s="55"/>
      <c r="I16" s="55"/>
      <c r="J16" s="55"/>
      <c r="K16" s="48"/>
      <c r="L16" s="3"/>
      <c r="M16" s="4"/>
      <c r="N16" s="5"/>
      <c r="O16" s="5"/>
      <c r="P16" s="5"/>
      <c r="Q16" s="5"/>
      <c r="R16" s="6"/>
      <c r="T16" s="4"/>
      <c r="U16" s="5"/>
      <c r="V16" s="5"/>
      <c r="W16" s="6"/>
    </row>
    <row r="17" spans="1:24" ht="15.75" customHeight="1">
      <c r="B17" s="62"/>
      <c r="C17" s="45"/>
      <c r="D17" s="45"/>
      <c r="E17" s="45"/>
      <c r="F17" s="45"/>
      <c r="G17" s="45"/>
      <c r="H17" s="45"/>
      <c r="I17" s="45"/>
      <c r="J17" s="45"/>
      <c r="K17" s="63"/>
      <c r="L17" s="3"/>
      <c r="M17" s="7"/>
      <c r="R17" s="8"/>
      <c r="T17" s="7"/>
      <c r="W17" s="8"/>
    </row>
    <row r="18" spans="1:24" ht="15.75" customHeight="1">
      <c r="B18" s="62"/>
      <c r="C18" s="45"/>
      <c r="D18" s="45"/>
      <c r="E18" s="45"/>
      <c r="F18" s="45"/>
      <c r="G18" s="45"/>
      <c r="H18" s="45"/>
      <c r="I18" s="45"/>
      <c r="J18" s="45"/>
      <c r="K18" s="63"/>
      <c r="L18" s="3"/>
      <c r="M18" s="7"/>
      <c r="N18" s="47" t="s">
        <v>3</v>
      </c>
      <c r="O18" s="55"/>
      <c r="P18" s="55"/>
      <c r="Q18" s="48"/>
      <c r="R18" s="8"/>
      <c r="T18" s="7"/>
      <c r="U18" s="47" t="s">
        <v>4</v>
      </c>
      <c r="V18" s="48"/>
      <c r="W18" s="8"/>
      <c r="X18" s="9"/>
    </row>
    <row r="19" spans="1:24" ht="15.75" customHeight="1">
      <c r="B19" s="62"/>
      <c r="C19" s="45"/>
      <c r="D19" s="45"/>
      <c r="E19" s="45"/>
      <c r="F19" s="45"/>
      <c r="G19" s="45"/>
      <c r="H19" s="45"/>
      <c r="I19" s="45"/>
      <c r="J19" s="45"/>
      <c r="K19" s="63"/>
      <c r="L19" s="3"/>
      <c r="M19" s="7"/>
      <c r="N19" s="49"/>
      <c r="O19" s="56"/>
      <c r="P19" s="56"/>
      <c r="Q19" s="50"/>
      <c r="R19" s="8"/>
      <c r="T19" s="7"/>
      <c r="U19" s="49"/>
      <c r="V19" s="50"/>
      <c r="W19" s="8"/>
      <c r="X19" s="9"/>
    </row>
    <row r="20" spans="1:24" ht="15.75" customHeight="1">
      <c r="B20" s="49"/>
      <c r="C20" s="56"/>
      <c r="D20" s="56"/>
      <c r="E20" s="56"/>
      <c r="F20" s="56"/>
      <c r="G20" s="56"/>
      <c r="H20" s="56"/>
      <c r="I20" s="56"/>
      <c r="J20" s="56"/>
      <c r="K20" s="50"/>
      <c r="L20" s="3"/>
      <c r="M20" s="7"/>
      <c r="R20" s="8"/>
      <c r="T20" s="7"/>
      <c r="W20" s="8"/>
    </row>
    <row r="21" spans="1:24" ht="15.75" customHeight="1">
      <c r="B21" s="7"/>
      <c r="K21" s="8"/>
      <c r="M21" s="7"/>
      <c r="R21" s="8"/>
      <c r="T21" s="7"/>
      <c r="W21" s="8"/>
    </row>
    <row r="22" spans="1:24" ht="14">
      <c r="B22" s="7"/>
      <c r="K22" s="8"/>
      <c r="M22" s="7"/>
      <c r="N22" s="10"/>
      <c r="R22" s="8"/>
      <c r="T22" s="7"/>
      <c r="U22" s="11" t="s">
        <v>5</v>
      </c>
      <c r="V22" s="11" t="s">
        <v>6</v>
      </c>
      <c r="W22" s="8"/>
    </row>
    <row r="23" spans="1:24" ht="14">
      <c r="B23" s="7"/>
      <c r="K23" s="8"/>
      <c r="M23" s="7"/>
      <c r="N23" s="12" t="s">
        <v>7</v>
      </c>
      <c r="O23" s="12" t="s">
        <v>8</v>
      </c>
      <c r="P23" s="12" t="s">
        <v>9</v>
      </c>
      <c r="Q23" s="13" t="s">
        <v>10</v>
      </c>
      <c r="R23" s="8"/>
      <c r="T23" s="7"/>
      <c r="U23" s="14" t="s">
        <v>11</v>
      </c>
      <c r="V23" s="15">
        <v>0.6</v>
      </c>
      <c r="W23" s="8"/>
    </row>
    <row r="24" spans="1:24" ht="15.75" customHeight="1">
      <c r="B24" s="16"/>
      <c r="C24" s="54" t="s">
        <v>12</v>
      </c>
      <c r="D24" s="55"/>
      <c r="E24" s="55"/>
      <c r="F24" s="48"/>
      <c r="H24" s="57" t="s">
        <v>13</v>
      </c>
      <c r="I24" s="55"/>
      <c r="J24" s="48"/>
      <c r="K24" s="8"/>
      <c r="M24" s="7"/>
      <c r="N24" s="14" t="s">
        <v>14</v>
      </c>
      <c r="O24" s="14">
        <v>199</v>
      </c>
      <c r="P24" s="14">
        <v>100</v>
      </c>
      <c r="Q24" s="14">
        <f t="shared" ref="Q24:Q25" si="0">O24*P24</f>
        <v>19900</v>
      </c>
      <c r="R24" s="8"/>
      <c r="T24" s="7"/>
      <c r="U24" s="14" t="s">
        <v>62</v>
      </c>
      <c r="V24" s="15">
        <v>0.25</v>
      </c>
      <c r="W24" s="8"/>
    </row>
    <row r="25" spans="1:24" ht="16">
      <c r="B25" s="17"/>
      <c r="C25" s="49"/>
      <c r="D25" s="56"/>
      <c r="E25" s="56"/>
      <c r="F25" s="50"/>
      <c r="H25" s="49"/>
      <c r="I25" s="56"/>
      <c r="J25" s="50"/>
      <c r="K25" s="8"/>
      <c r="M25" s="7"/>
      <c r="N25" s="14" t="s">
        <v>15</v>
      </c>
      <c r="O25" s="14">
        <v>5000</v>
      </c>
      <c r="P25" s="14">
        <v>4</v>
      </c>
      <c r="Q25" s="14">
        <f t="shared" si="0"/>
        <v>20000</v>
      </c>
      <c r="R25" s="8"/>
      <c r="T25" s="7"/>
      <c r="U25" s="14" t="s">
        <v>63</v>
      </c>
      <c r="V25" s="15">
        <v>0.15</v>
      </c>
      <c r="W25" s="8"/>
    </row>
    <row r="26" spans="1:24" ht="15.75" customHeight="1">
      <c r="B26" s="16"/>
      <c r="C26" s="1"/>
      <c r="D26" s="1"/>
      <c r="E26" s="1"/>
      <c r="F26" s="2"/>
      <c r="K26" s="8"/>
      <c r="M26" s="7"/>
      <c r="N26" s="14"/>
      <c r="O26" s="14"/>
      <c r="P26" s="14"/>
      <c r="Q26" s="14"/>
      <c r="R26" s="8"/>
      <c r="T26" s="7"/>
      <c r="W26" s="8"/>
    </row>
    <row r="27" spans="1:24" ht="14">
      <c r="B27" s="7"/>
      <c r="C27" s="12" t="s">
        <v>16</v>
      </c>
      <c r="D27" s="12" t="s">
        <v>17</v>
      </c>
      <c r="E27" s="12" t="s">
        <v>18</v>
      </c>
      <c r="F27" s="12" t="s">
        <v>19</v>
      </c>
      <c r="H27" s="12" t="s">
        <v>16</v>
      </c>
      <c r="I27" s="12" t="s">
        <v>20</v>
      </c>
      <c r="J27" s="12" t="s">
        <v>21</v>
      </c>
      <c r="K27" s="8"/>
      <c r="M27" s="7"/>
      <c r="N27" s="18" t="s">
        <v>22</v>
      </c>
      <c r="O27" s="18"/>
      <c r="P27" s="18"/>
      <c r="Q27" s="18">
        <f>SUM(Q24:Q25)</f>
        <v>39900</v>
      </c>
      <c r="R27" s="8"/>
      <c r="T27" s="7"/>
      <c r="W27" s="8"/>
    </row>
    <row r="28" spans="1:24" ht="15.75" customHeight="1">
      <c r="A28" s="2"/>
      <c r="B28" s="7"/>
      <c r="C28" s="14" t="s">
        <v>23</v>
      </c>
      <c r="D28" s="14">
        <v>4</v>
      </c>
      <c r="E28" s="19">
        <v>50000</v>
      </c>
      <c r="F28" s="19">
        <v>400000</v>
      </c>
      <c r="H28" s="14" t="s">
        <v>24</v>
      </c>
      <c r="I28" s="19">
        <v>2000</v>
      </c>
      <c r="J28" s="19">
        <v>24000</v>
      </c>
      <c r="K28" s="8"/>
      <c r="M28" s="7"/>
      <c r="R28" s="8"/>
      <c r="T28" s="7"/>
      <c r="W28" s="8"/>
    </row>
    <row r="29" spans="1:24" ht="15.75" customHeight="1">
      <c r="A29" s="2"/>
      <c r="B29" s="7"/>
      <c r="C29" s="14" t="s">
        <v>25</v>
      </c>
      <c r="D29" s="14" t="s">
        <v>26</v>
      </c>
      <c r="E29" s="19">
        <v>20000</v>
      </c>
      <c r="F29" s="19">
        <v>20000</v>
      </c>
      <c r="H29" s="14" t="s">
        <v>27</v>
      </c>
      <c r="I29" s="19">
        <v>3000</v>
      </c>
      <c r="J29" s="19">
        <v>36000</v>
      </c>
      <c r="K29" s="8"/>
      <c r="M29" s="7"/>
      <c r="R29" s="8"/>
      <c r="T29" s="7"/>
      <c r="W29" s="8"/>
    </row>
    <row r="30" spans="1:24" ht="15.75" customHeight="1">
      <c r="A30" s="2"/>
      <c r="B30" s="7"/>
      <c r="C30" s="14" t="s">
        <v>28</v>
      </c>
      <c r="D30" s="14" t="s">
        <v>26</v>
      </c>
      <c r="E30" s="19">
        <v>15000</v>
      </c>
      <c r="F30" s="19">
        <v>15000</v>
      </c>
      <c r="H30" s="14" t="s">
        <v>29</v>
      </c>
      <c r="I30" s="19">
        <v>10000</v>
      </c>
      <c r="J30" s="19">
        <v>120000</v>
      </c>
      <c r="K30" s="8"/>
      <c r="M30" s="7"/>
      <c r="R30" s="8"/>
      <c r="T30" s="7"/>
      <c r="W30" s="8"/>
    </row>
    <row r="31" spans="1:24" ht="15.75" customHeight="1">
      <c r="A31" s="2"/>
      <c r="B31" s="7"/>
      <c r="C31" s="14" t="s">
        <v>30</v>
      </c>
      <c r="D31" s="14" t="s">
        <v>26</v>
      </c>
      <c r="E31" s="19">
        <v>5000</v>
      </c>
      <c r="F31" s="19">
        <v>5000</v>
      </c>
      <c r="H31" s="14" t="s">
        <v>31</v>
      </c>
      <c r="I31" s="19">
        <v>5000</v>
      </c>
      <c r="J31" s="19">
        <v>60000</v>
      </c>
      <c r="K31" s="8"/>
      <c r="M31" s="7"/>
      <c r="R31" s="8"/>
      <c r="T31" s="7"/>
      <c r="W31" s="8"/>
    </row>
    <row r="32" spans="1:24" ht="15.75" customHeight="1">
      <c r="A32" s="2"/>
      <c r="B32" s="7"/>
      <c r="C32" s="18" t="s">
        <v>32</v>
      </c>
      <c r="D32" s="18"/>
      <c r="E32" s="18"/>
      <c r="F32" s="20">
        <f>SUM(F28:F31)</f>
        <v>440000</v>
      </c>
      <c r="H32" s="18" t="s">
        <v>33</v>
      </c>
      <c r="I32" s="20">
        <v>20000</v>
      </c>
      <c r="J32" s="20">
        <f>SUM(J28:J31)</f>
        <v>240000</v>
      </c>
      <c r="K32" s="8"/>
      <c r="M32" s="7"/>
      <c r="R32" s="8"/>
      <c r="T32" s="7"/>
      <c r="W32" s="8"/>
    </row>
    <row r="33" spans="1:23" ht="15.75" customHeight="1">
      <c r="A33" s="2"/>
      <c r="B33" s="21"/>
      <c r="C33" s="2"/>
      <c r="D33" s="2"/>
      <c r="E33" s="2"/>
      <c r="K33" s="8"/>
      <c r="M33" s="7"/>
      <c r="R33" s="8"/>
      <c r="T33" s="7"/>
      <c r="W33" s="8"/>
    </row>
    <row r="34" spans="1:23" ht="15.75" customHeight="1">
      <c r="A34" s="2"/>
      <c r="B34" s="7"/>
      <c r="K34" s="8"/>
      <c r="M34" s="7"/>
      <c r="R34" s="8"/>
      <c r="T34" s="7"/>
      <c r="W34" s="8"/>
    </row>
    <row r="35" spans="1:23" ht="15.75" customHeight="1">
      <c r="A35" s="2"/>
      <c r="B35" s="7"/>
      <c r="K35" s="8"/>
      <c r="M35" s="7"/>
      <c r="R35" s="8"/>
      <c r="T35" s="7"/>
      <c r="W35" s="8"/>
    </row>
    <row r="36" spans="1:23" ht="15.75" customHeight="1">
      <c r="A36" s="2"/>
      <c r="B36" s="7"/>
      <c r="K36" s="8"/>
      <c r="M36" s="7"/>
      <c r="R36" s="8"/>
      <c r="T36" s="7"/>
      <c r="W36" s="8"/>
    </row>
    <row r="37" spans="1:23" ht="15.75" customHeight="1">
      <c r="B37" s="7"/>
      <c r="K37" s="8"/>
      <c r="M37" s="7"/>
      <c r="R37" s="8"/>
      <c r="T37" s="7"/>
      <c r="W37" s="8"/>
    </row>
    <row r="38" spans="1:23" ht="15.75" customHeight="1">
      <c r="B38" s="7"/>
      <c r="K38" s="8"/>
      <c r="M38" s="7"/>
      <c r="R38" s="8"/>
      <c r="T38" s="7"/>
      <c r="W38" s="8"/>
    </row>
    <row r="39" spans="1:23" ht="15.75" customHeight="1">
      <c r="B39" s="7"/>
      <c r="K39" s="8"/>
      <c r="M39" s="7"/>
      <c r="R39" s="8"/>
      <c r="T39" s="7"/>
      <c r="W39" s="8"/>
    </row>
    <row r="40" spans="1:23" ht="15.75" customHeight="1">
      <c r="B40" s="7"/>
      <c r="K40" s="8"/>
      <c r="M40" s="7"/>
      <c r="R40" s="8"/>
      <c r="T40" s="7"/>
      <c r="W40" s="8"/>
    </row>
    <row r="41" spans="1:23" ht="15.75" customHeight="1">
      <c r="B41" s="7"/>
      <c r="K41" s="8"/>
      <c r="M41" s="7"/>
      <c r="R41" s="8"/>
      <c r="T41" s="7"/>
      <c r="W41" s="8"/>
    </row>
    <row r="42" spans="1:23" ht="15.75" customHeight="1">
      <c r="B42" s="7"/>
      <c r="K42" s="8"/>
      <c r="M42" s="7"/>
      <c r="R42" s="8"/>
      <c r="T42" s="7"/>
      <c r="W42" s="8"/>
    </row>
    <row r="43" spans="1:23" ht="15.75" customHeight="1">
      <c r="B43" s="7"/>
      <c r="K43" s="8"/>
      <c r="M43" s="7"/>
      <c r="R43" s="8"/>
      <c r="T43" s="7"/>
      <c r="W43" s="8"/>
    </row>
    <row r="44" spans="1:23" ht="15.75" customHeight="1">
      <c r="A44" s="2"/>
      <c r="B44" s="7"/>
      <c r="K44" s="8"/>
      <c r="M44" s="7"/>
      <c r="R44" s="8"/>
      <c r="T44" s="7"/>
      <c r="W44" s="8"/>
    </row>
    <row r="45" spans="1:23" ht="15.75" customHeight="1">
      <c r="A45" s="2"/>
      <c r="B45" s="7"/>
      <c r="K45" s="8"/>
      <c r="M45" s="7"/>
      <c r="R45" s="8"/>
      <c r="T45" s="7"/>
      <c r="W45" s="8"/>
    </row>
    <row r="46" spans="1:23" ht="15.75" customHeight="1">
      <c r="A46" s="2"/>
      <c r="B46" s="7"/>
      <c r="K46" s="8"/>
      <c r="M46" s="22"/>
      <c r="N46" s="23"/>
      <c r="O46" s="23"/>
      <c r="P46" s="23"/>
      <c r="Q46" s="23"/>
      <c r="R46" s="24"/>
      <c r="T46" s="22"/>
      <c r="U46" s="23"/>
      <c r="V46" s="23"/>
      <c r="W46" s="24"/>
    </row>
    <row r="47" spans="1:23" ht="15.75" customHeight="1">
      <c r="B47" s="7"/>
      <c r="K47" s="8"/>
    </row>
    <row r="48" spans="1:23" ht="15.75" customHeight="1">
      <c r="B48" s="7"/>
      <c r="K48" s="8"/>
    </row>
    <row r="49" spans="1:31" ht="13">
      <c r="B49" s="7"/>
      <c r="K49" s="8"/>
    </row>
    <row r="50" spans="1:31" ht="13">
      <c r="B50" s="7"/>
      <c r="K50" s="8"/>
      <c r="M50" s="4"/>
      <c r="N50" s="5"/>
      <c r="O50" s="5"/>
      <c r="P50" s="6"/>
      <c r="S50" s="4"/>
      <c r="T50" s="5"/>
      <c r="U50" s="5"/>
      <c r="V50" s="6"/>
    </row>
    <row r="51" spans="1:31" ht="13">
      <c r="B51" s="7"/>
      <c r="K51" s="8"/>
      <c r="M51" s="7"/>
      <c r="P51" s="8"/>
      <c r="S51" s="7"/>
      <c r="V51" s="8"/>
      <c r="X51" s="47" t="s">
        <v>34</v>
      </c>
      <c r="Y51" s="55"/>
      <c r="Z51" s="55"/>
      <c r="AA51" s="48"/>
      <c r="AC51" s="25"/>
      <c r="AD51" s="46"/>
      <c r="AE51" s="45"/>
    </row>
    <row r="52" spans="1:31" ht="13">
      <c r="A52" s="2"/>
      <c r="B52" s="7"/>
      <c r="K52" s="8"/>
      <c r="M52" s="7"/>
      <c r="N52" s="47" t="s">
        <v>35</v>
      </c>
      <c r="O52" s="48"/>
      <c r="P52" s="8"/>
      <c r="S52" s="7"/>
      <c r="V52" s="8"/>
      <c r="X52" s="49"/>
      <c r="Y52" s="56"/>
      <c r="Z52" s="56"/>
      <c r="AA52" s="50"/>
    </row>
    <row r="53" spans="1:31" ht="13">
      <c r="A53" s="2"/>
      <c r="B53" s="7"/>
      <c r="K53" s="8"/>
      <c r="M53" s="7"/>
      <c r="N53" s="49"/>
      <c r="O53" s="50"/>
      <c r="P53" s="8"/>
      <c r="S53" s="7"/>
      <c r="T53" s="47" t="s">
        <v>36</v>
      </c>
      <c r="U53" s="48"/>
      <c r="V53" s="8"/>
    </row>
    <row r="54" spans="1:31" ht="14">
      <c r="A54" s="2"/>
      <c r="B54" s="7"/>
      <c r="K54" s="8"/>
      <c r="M54" s="7"/>
      <c r="P54" s="8"/>
      <c r="S54" s="7"/>
      <c r="T54" s="49"/>
      <c r="U54" s="50"/>
      <c r="V54" s="8"/>
      <c r="X54" s="51" t="s">
        <v>37</v>
      </c>
      <c r="Y54" s="52"/>
      <c r="Z54" s="12" t="s">
        <v>38</v>
      </c>
      <c r="AA54" s="12" t="s">
        <v>39</v>
      </c>
      <c r="AC54" s="53" t="s">
        <v>40</v>
      </c>
      <c r="AD54" s="52"/>
    </row>
    <row r="55" spans="1:31" ht="16">
      <c r="B55" s="7"/>
      <c r="K55" s="8"/>
      <c r="M55" s="7"/>
      <c r="N55" s="26"/>
      <c r="O55" s="26"/>
      <c r="P55" s="8"/>
      <c r="S55" s="7"/>
      <c r="T55" s="10"/>
      <c r="V55" s="8"/>
      <c r="X55" s="60" t="s">
        <v>41</v>
      </c>
      <c r="Y55" s="52"/>
      <c r="Z55" s="67" t="s">
        <v>59</v>
      </c>
      <c r="AA55" s="27" t="s">
        <v>60</v>
      </c>
    </row>
    <row r="56" spans="1:31" ht="14">
      <c r="B56" s="7"/>
      <c r="K56" s="8"/>
      <c r="M56" s="7"/>
      <c r="N56" s="28"/>
      <c r="O56" s="28"/>
      <c r="P56" s="8"/>
      <c r="S56" s="7"/>
      <c r="V56" s="8"/>
      <c r="X56" s="45"/>
      <c r="Y56" s="45"/>
    </row>
    <row r="57" spans="1:31" ht="14">
      <c r="B57" s="7"/>
      <c r="C57" s="58" t="s">
        <v>42</v>
      </c>
      <c r="D57" s="48"/>
      <c r="K57" s="8"/>
      <c r="M57" s="7"/>
      <c r="N57" s="29" t="s">
        <v>43</v>
      </c>
      <c r="O57" s="29" t="s">
        <v>44</v>
      </c>
      <c r="P57" s="8"/>
      <c r="S57" s="7"/>
      <c r="V57" s="8"/>
      <c r="X57" s="59"/>
      <c r="Y57" s="45"/>
      <c r="Z57" s="30"/>
      <c r="AA57" s="30"/>
      <c r="AC57" s="31" t="s">
        <v>45</v>
      </c>
    </row>
    <row r="58" spans="1:31" ht="13">
      <c r="B58" s="7"/>
      <c r="C58" s="49"/>
      <c r="D58" s="50"/>
      <c r="K58" s="8"/>
      <c r="M58" s="7"/>
      <c r="N58" s="32" t="s">
        <v>14</v>
      </c>
      <c r="O58" s="32">
        <v>100</v>
      </c>
      <c r="P58" s="8"/>
      <c r="S58" s="7"/>
      <c r="V58" s="8"/>
      <c r="AC58" s="68" t="s">
        <v>61</v>
      </c>
    </row>
    <row r="59" spans="1:31" ht="13">
      <c r="B59" s="7"/>
      <c r="K59" s="8"/>
      <c r="M59" s="7"/>
      <c r="N59" s="32" t="s">
        <v>46</v>
      </c>
      <c r="O59" s="32">
        <v>199</v>
      </c>
      <c r="P59" s="8"/>
      <c r="S59" s="7"/>
      <c r="V59" s="8"/>
      <c r="AC59" s="33"/>
    </row>
    <row r="60" spans="1:31" ht="13">
      <c r="B60" s="7"/>
      <c r="C60" s="34" t="s">
        <v>47</v>
      </c>
      <c r="D60" s="34" t="s">
        <v>48</v>
      </c>
      <c r="K60" s="8"/>
      <c r="M60" s="7"/>
      <c r="N60" s="32" t="s">
        <v>49</v>
      </c>
      <c r="O60" s="32">
        <v>4</v>
      </c>
      <c r="P60" s="8"/>
      <c r="S60" s="7"/>
      <c r="V60" s="8"/>
    </row>
    <row r="61" spans="1:31" ht="13">
      <c r="B61" s="7"/>
      <c r="C61" s="14" t="s">
        <v>32</v>
      </c>
      <c r="D61" s="19">
        <f>F32</f>
        <v>440000</v>
      </c>
      <c r="K61" s="8"/>
      <c r="M61" s="7"/>
      <c r="N61" s="32" t="s">
        <v>50</v>
      </c>
      <c r="O61" s="32">
        <v>5000</v>
      </c>
      <c r="P61" s="8"/>
      <c r="S61" s="7"/>
      <c r="V61" s="8"/>
    </row>
    <row r="62" spans="1:31" ht="13">
      <c r="B62" s="7"/>
      <c r="C62" s="14" t="s">
        <v>33</v>
      </c>
      <c r="D62" s="19">
        <f>J32</f>
        <v>240000</v>
      </c>
      <c r="K62" s="8"/>
      <c r="M62" s="7"/>
      <c r="N62" s="32" t="s">
        <v>51</v>
      </c>
      <c r="O62" s="35">
        <f>O58*O59</f>
        <v>19900</v>
      </c>
      <c r="P62" s="8"/>
      <c r="S62" s="7"/>
      <c r="V62" s="36"/>
      <c r="W62" s="37"/>
    </row>
    <row r="63" spans="1:31" ht="13">
      <c r="B63" s="7"/>
      <c r="C63" s="18" t="s">
        <v>52</v>
      </c>
      <c r="D63" s="20">
        <f>SUM(D61:D62)</f>
        <v>680000</v>
      </c>
      <c r="K63" s="8"/>
      <c r="M63" s="7"/>
      <c r="N63" s="32" t="s">
        <v>53</v>
      </c>
      <c r="O63" s="32">
        <f>(O61*O60)</f>
        <v>20000</v>
      </c>
      <c r="P63" s="8"/>
      <c r="S63" s="7"/>
      <c r="V63" s="8"/>
    </row>
    <row r="64" spans="1:31" ht="13">
      <c r="B64" s="7"/>
      <c r="K64" s="8"/>
      <c r="M64" s="7"/>
      <c r="N64" s="32" t="s">
        <v>54</v>
      </c>
      <c r="O64" s="38">
        <f>(O62+O63)*12</f>
        <v>478800</v>
      </c>
      <c r="P64" s="8"/>
      <c r="S64" s="7"/>
      <c r="V64" s="8"/>
    </row>
    <row r="65" spans="2:23" ht="13">
      <c r="B65" s="7"/>
      <c r="K65" s="8"/>
      <c r="M65" s="7"/>
      <c r="N65" s="32" t="s">
        <v>33</v>
      </c>
      <c r="O65" s="35">
        <v>240000</v>
      </c>
      <c r="P65" s="8"/>
      <c r="S65" s="7"/>
      <c r="V65" s="8"/>
    </row>
    <row r="66" spans="2:23" ht="13">
      <c r="B66" s="7"/>
      <c r="K66" s="8"/>
      <c r="M66" s="7"/>
      <c r="N66" s="32" t="s">
        <v>55</v>
      </c>
      <c r="O66" s="35">
        <f>O64-O65</f>
        <v>238800</v>
      </c>
      <c r="P66" s="8"/>
      <c r="S66" s="7"/>
      <c r="U66" s="10"/>
      <c r="V66" s="39"/>
    </row>
    <row r="67" spans="2:23" ht="13">
      <c r="B67" s="7"/>
      <c r="K67" s="8"/>
      <c r="M67" s="7"/>
      <c r="N67" s="32" t="s">
        <v>56</v>
      </c>
      <c r="O67" s="35">
        <f>O64-SUM(F32,J32)</f>
        <v>-201200</v>
      </c>
      <c r="P67" s="8"/>
      <c r="S67" s="7"/>
      <c r="U67" s="25"/>
      <c r="V67" s="36"/>
    </row>
    <row r="68" spans="2:23" ht="13">
      <c r="B68" s="7"/>
      <c r="K68" s="8"/>
      <c r="M68" s="7"/>
      <c r="N68" s="32" t="s">
        <v>57</v>
      </c>
      <c r="O68" s="32">
        <f>15*(98800/100)</f>
        <v>14820</v>
      </c>
      <c r="P68" s="8"/>
      <c r="S68" s="7"/>
      <c r="U68" s="10"/>
      <c r="V68" s="40"/>
    </row>
    <row r="69" spans="2:23" ht="13">
      <c r="B69" s="7"/>
      <c r="K69" s="8"/>
      <c r="M69" s="7"/>
      <c r="N69" s="41" t="s">
        <v>58</v>
      </c>
      <c r="O69" s="42">
        <f>O67-O68</f>
        <v>-216020</v>
      </c>
      <c r="P69" s="8"/>
      <c r="S69" s="7"/>
      <c r="U69" s="10"/>
      <c r="V69" s="40"/>
    </row>
    <row r="70" spans="2:23" ht="13">
      <c r="B70" s="7"/>
      <c r="K70" s="8"/>
      <c r="M70" s="7"/>
      <c r="P70" s="8"/>
      <c r="S70" s="7"/>
      <c r="V70" s="8"/>
    </row>
    <row r="71" spans="2:23" ht="13">
      <c r="B71" s="7"/>
      <c r="K71" s="8"/>
      <c r="M71" s="7"/>
      <c r="P71" s="8"/>
      <c r="S71" s="7"/>
      <c r="V71" s="36"/>
    </row>
    <row r="72" spans="2:23" ht="13">
      <c r="B72" s="22"/>
      <c r="C72" s="23"/>
      <c r="D72" s="23"/>
      <c r="E72" s="23"/>
      <c r="F72" s="23"/>
      <c r="G72" s="23"/>
      <c r="H72" s="23"/>
      <c r="I72" s="23"/>
      <c r="J72" s="23"/>
      <c r="K72" s="24"/>
      <c r="M72" s="22"/>
      <c r="N72" s="23"/>
      <c r="O72" s="23"/>
      <c r="P72" s="24"/>
      <c r="S72" s="7"/>
      <c r="V72" s="40"/>
    </row>
    <row r="73" spans="2:23" ht="13">
      <c r="R73" s="8"/>
      <c r="V73" s="43"/>
      <c r="W73" s="7"/>
    </row>
    <row r="74" spans="2:23" ht="13">
      <c r="B74" s="2"/>
      <c r="C74" s="2"/>
      <c r="D74" s="2"/>
      <c r="R74" s="8"/>
      <c r="S74" s="23"/>
      <c r="T74" s="23"/>
      <c r="U74" s="23"/>
      <c r="V74" s="23"/>
      <c r="W74" s="7"/>
    </row>
    <row r="77" spans="2:23" ht="13">
      <c r="V77" s="44"/>
      <c r="W77" s="45"/>
    </row>
    <row r="81" spans="13:15" ht="13">
      <c r="O81" s="2"/>
    </row>
    <row r="82" spans="13:15" ht="13">
      <c r="O82" s="2"/>
    </row>
    <row r="83" spans="13:15" ht="13">
      <c r="M83" s="2"/>
      <c r="N83" s="2"/>
      <c r="O83" s="2"/>
    </row>
    <row r="84" spans="13:15" ht="13">
      <c r="M84" s="2"/>
      <c r="N84" s="2"/>
      <c r="O84" s="2"/>
    </row>
  </sheetData>
  <mergeCells count="18">
    <mergeCell ref="K4:M7"/>
    <mergeCell ref="H9:P9"/>
    <mergeCell ref="B16:K20"/>
    <mergeCell ref="N18:Q19"/>
    <mergeCell ref="U18:V19"/>
    <mergeCell ref="C24:F25"/>
    <mergeCell ref="H24:J25"/>
    <mergeCell ref="X56:Y56"/>
    <mergeCell ref="C57:D58"/>
    <mergeCell ref="X57:Y57"/>
    <mergeCell ref="X51:AA52"/>
    <mergeCell ref="X55:Y55"/>
    <mergeCell ref="V77:W77"/>
    <mergeCell ref="AD51:AE51"/>
    <mergeCell ref="N52:O53"/>
    <mergeCell ref="T53:U54"/>
    <mergeCell ref="X54:Y54"/>
    <mergeCell ref="AC54:AD54"/>
  </mergeCells>
  <hyperlinks>
    <hyperlink ref="AC58" r:id="rId1" display="https://coinstats.app/news/f42d397805e04e7d969dd8ef1df8a6571d2f9ee778c30d9bc089ae941f9ffcd1_-CoinShares-reports-26-AUM-increase-to-346B-in-Q2-/" xr:uid="{00000000-0004-0000-0000-000001000000}"/>
    <hyperlink ref="Z55" r:id="rId2" xr:uid="{00000000-0004-0000-0000-000000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Kishan Ojha</cp:lastModifiedBy>
  <dcterms:created xsi:type="dcterms:W3CDTF">2025-10-09T05:47:35Z</dcterms:created>
  <dcterms:modified xsi:type="dcterms:W3CDTF">2025-10-09T06:54:53Z</dcterms:modified>
</cp:coreProperties>
</file>